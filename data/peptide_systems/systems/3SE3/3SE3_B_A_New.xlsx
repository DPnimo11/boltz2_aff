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13_ncr:9_{34CC7B55-7AD0-4C43-AC4D-913DA9641557}" xr6:coauthVersionLast="47" xr6:coauthVersionMax="47" xr10:uidLastSave="{00000000-0000-0000-0000-000000000000}"/>
  <bookViews>
    <workbookView xWindow="-108" yWindow="-108" windowWidth="23256" windowHeight="12456" xr2:uid="{DB532FBE-4A14-4BB5-A706-D442EDEDB79C}"/>
  </bookViews>
  <sheets>
    <sheet name="3SE3_B_A_New" sheetId="1" r:id="rId1"/>
  </sheets>
  <calcPr calcId="0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3" i="1"/>
  <c r="G7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G3" i="1"/>
  <c r="E3" i="1"/>
</calcChain>
</file>

<file path=xl/sharedStrings.xml><?xml version="1.0" encoding="utf-8"?>
<sst xmlns="http://schemas.openxmlformats.org/spreadsheetml/2006/main" count="145" uniqueCount="125">
  <si>
    <t>YB43A,NB44E,SB47Q</t>
  </si>
  <si>
    <t>YB43H,NB44A,SB47Q</t>
  </si>
  <si>
    <t>YB43H,NB44E,SB47A</t>
  </si>
  <si>
    <t>YB43H,NB44E,SB47Q,QB48A</t>
  </si>
  <si>
    <t>YB43H,NB44E,SB47Q,FB50A</t>
  </si>
  <si>
    <t>YB43H,NB44E,SB47Q,NB51A</t>
  </si>
  <si>
    <t>YB43H,NB44E,SB47Q,SB54A</t>
  </si>
  <si>
    <t>YB43H,NB44E,SB47Q,TB55A</t>
  </si>
  <si>
    <t>YB43H,NB44E,SB47Q,KB56A</t>
  </si>
  <si>
    <t>YB43H,NB44E,SB47Q,DB57A</t>
  </si>
  <si>
    <t>YB43H,NB44E,SB47Q,SB59A</t>
  </si>
  <si>
    <t>YB43H,NB44E,SB47Q,TB65A</t>
  </si>
  <si>
    <t>YB43H,NB44E,SB47Q,LB66A</t>
  </si>
  <si>
    <t>YB43H,NB44E,SB47Q,KB69A</t>
  </si>
  <si>
    <t>YB43H,NB44E,SB47Q,YB71A</t>
  </si>
  <si>
    <t>YB43H,NB44E,SB47Q,TB72A</t>
  </si>
  <si>
    <t>YB43H,NB44E,SB47Q,YB75A</t>
  </si>
  <si>
    <t>YB43H,NB44E,SB47Q,QB76A</t>
  </si>
  <si>
    <t>YB43H,NB44E,SB47Q,NB79A</t>
  </si>
  <si>
    <t>YB43H,NB44E,SB47Q,EB82A</t>
  </si>
  <si>
    <t>YB43H,NB44E,SB47Q,VB85A</t>
  </si>
  <si>
    <t>YB43H,NB44E,SB47Q</t>
  </si>
  <si>
    <t>YB43M,NB44D,SB47L</t>
  </si>
  <si>
    <t>YB43A,NB44A,SB47A</t>
  </si>
  <si>
    <t>YB43H,NB44E,SB47Q,IB88A</t>
  </si>
  <si>
    <t>YB43H,NB44E,SB47Q,LB89A</t>
  </si>
  <si>
    <t>&gt;3E-06</t>
  </si>
  <si>
    <t>YB43H,NB44E,SB47Q,RB92A</t>
  </si>
  <si>
    <t>YB43H,NB44E,SB47Q,RB92K</t>
  </si>
  <si>
    <t>YB43H,NB44E,SB47Q,KB93A</t>
  </si>
  <si>
    <t>YB43H,NB44E,SB47Q,KB103A</t>
  </si>
  <si>
    <t>NA53A</t>
  </si>
  <si>
    <t>YA55A</t>
  </si>
  <si>
    <t>FA81A</t>
  </si>
  <si>
    <t>EA96A</t>
  </si>
  <si>
    <t>KA98A</t>
  </si>
  <si>
    <t>LA116A</t>
  </si>
  <si>
    <t>DA117A</t>
  </si>
  <si>
    <t>SA120A</t>
  </si>
  <si>
    <t>NA140T</t>
  </si>
  <si>
    <t>YA148A</t>
  </si>
  <si>
    <t>TA166A</t>
  </si>
  <si>
    <t>SA167A</t>
  </si>
  <si>
    <t>FA223A</t>
  </si>
  <si>
    <t>RA226A</t>
  </si>
  <si>
    <t>NA227A</t>
  </si>
  <si>
    <t>NA230A</t>
  </si>
  <si>
    <t>FA273A</t>
  </si>
  <si>
    <t>ID</t>
  </si>
  <si>
    <t>Mutation</t>
  </si>
  <si>
    <t>Activity_Mutate</t>
  </si>
  <si>
    <t>Activity_WT</t>
  </si>
  <si>
    <t>WT</t>
  </si>
  <si>
    <t>average</t>
  </si>
  <si>
    <t>3SE3_1</t>
  </si>
  <si>
    <t>3SE3_2</t>
  </si>
  <si>
    <t>3SE3_3</t>
  </si>
  <si>
    <t>3SE3_4</t>
  </si>
  <si>
    <t>3SE3_5</t>
  </si>
  <si>
    <t>3SE3_6</t>
  </si>
  <si>
    <t>3SE3_7</t>
  </si>
  <si>
    <t>3SE3_8</t>
  </si>
  <si>
    <t>3SE3_9</t>
  </si>
  <si>
    <t>3SE3_10</t>
  </si>
  <si>
    <t>3SE3_11</t>
  </si>
  <si>
    <t>3SE3_12</t>
  </si>
  <si>
    <t>3SE3_13</t>
  </si>
  <si>
    <t>3SE3_14</t>
  </si>
  <si>
    <t>3SE3_15</t>
  </si>
  <si>
    <t>3SE3_16</t>
  </si>
  <si>
    <t>3SE3_17</t>
  </si>
  <si>
    <t>3SE3_18</t>
  </si>
  <si>
    <t>3SE3_19</t>
  </si>
  <si>
    <t>3SE3_20</t>
  </si>
  <si>
    <t>3SE3_21</t>
  </si>
  <si>
    <t>3SE3_22</t>
  </si>
  <si>
    <t>3SE3_23</t>
  </si>
  <si>
    <t>3SE3_24</t>
  </si>
  <si>
    <t>3SE3_25</t>
  </si>
  <si>
    <t>3SE3_26</t>
  </si>
  <si>
    <t>3SE3_27</t>
  </si>
  <si>
    <t>3SE3_28</t>
  </si>
  <si>
    <t>3SE3_29</t>
  </si>
  <si>
    <t>3SE3_30</t>
  </si>
  <si>
    <t>3SE3_31</t>
  </si>
  <si>
    <t>3SE3_32</t>
  </si>
  <si>
    <t>3SE3_33</t>
  </si>
  <si>
    <t>3SE3_34</t>
  </si>
  <si>
    <t>3SE3_35</t>
  </si>
  <si>
    <t>3SE3_36</t>
  </si>
  <si>
    <t>3SE3_37</t>
  </si>
  <si>
    <t>3SE3_38</t>
  </si>
  <si>
    <t>3SE3_39</t>
  </si>
  <si>
    <t>3SE3_40</t>
  </si>
  <si>
    <t>3SE3_41</t>
  </si>
  <si>
    <t>3SE3_42</t>
  </si>
  <si>
    <t>3SE3_43</t>
  </si>
  <si>
    <t>3SE3_44</t>
  </si>
  <si>
    <t>3SE3_45</t>
  </si>
  <si>
    <t>3SE3_46</t>
  </si>
  <si>
    <t>3SE3_47</t>
  </si>
  <si>
    <t>3SE3_48</t>
  </si>
  <si>
    <t>3SE3_49</t>
  </si>
  <si>
    <t>3SE3_50</t>
  </si>
  <si>
    <t>3SE3_51</t>
  </si>
  <si>
    <t>3SE3_52</t>
  </si>
  <si>
    <t>3SE3_53</t>
  </si>
  <si>
    <t>3SE3_54</t>
  </si>
  <si>
    <t>3SE3_55</t>
  </si>
  <si>
    <t>3SE3_56</t>
  </si>
  <si>
    <t>3SE3_57</t>
  </si>
  <si>
    <t>3SE3_58</t>
  </si>
  <si>
    <t>3SE3_59</t>
  </si>
  <si>
    <t>3SE3_60</t>
  </si>
  <si>
    <t>3SE3_61</t>
  </si>
  <si>
    <t>3SE3_62</t>
  </si>
  <si>
    <t>3SE3_63</t>
  </si>
  <si>
    <t>3SE3_64</t>
  </si>
  <si>
    <t>3SE3_65</t>
  </si>
  <si>
    <t>3SE3_66</t>
  </si>
  <si>
    <t>3SE3_67</t>
  </si>
  <si>
    <t>3SE3_68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</si>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</sst>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F8D6-3419-43C1-86A3-4C1DFE813474}">
  <dimension ref="A1:G72"/>
  <sheetViews>
    <sheetView tabSelected="1" workbookViewId="0">
      <selection activeCell="K10" sqref="K10"/>
    </sheetView>
  </sheetViews>
  <sheetFormatPr defaultRowHeight="14.4" x14ac:dyDescent="0.3"/>
  <cols>
    <col min="2" max="2" width="25.6640625" bestFit="1" customWidth="1"/>
    <col min="3" max="3" width="8.88671875" style="2"/>
    <col min="4" max="4" width="13.109375" bestFit="1" customWidth="1"/>
    <col min="5" max="5" width="8.88671875" style="2"/>
    <col min="7" max="7" width="8.88671875" style="2"/>
  </cols>
  <sheetData>
    <row r="1" spans="1:7" x14ac:dyDescent="0.3">
      <c r="A1" t="s">
        <v>48</v>
      </c>
      <c r="B1" t="s">
        <v>49</v>
      </c>
      <c r="C1" s="3" t="s">
        <v>122</v>
      </c>
      <c r="D1" t="s">
        <v>50</v>
      </c>
      <c r="E1" s="3" t="s">
        <v>123</v>
      </c>
      <c r="F1" t="s">
        <v>51</v>
      </c>
      <c r="G1" s="3" t="s">
        <v>124</v>
      </c>
    </row>
    <row r="2" spans="1:7" x14ac:dyDescent="0.3">
      <c r="A2" t="s">
        <v>54</v>
      </c>
      <c r="B2" t="s">
        <v>52</v>
      </c>
      <c r="C2" s="2">
        <v>-10.331818013334747</v>
      </c>
      <c r="D2">
        <v>0</v>
      </c>
      <c r="E2" s="2">
        <v>0</v>
      </c>
      <c r="F2">
        <v>0</v>
      </c>
      <c r="G2" s="2">
        <v>0</v>
      </c>
    </row>
    <row r="3" spans="1:7" x14ac:dyDescent="0.3">
      <c r="A3" t="s">
        <v>55</v>
      </c>
      <c r="B3" t="s">
        <v>0</v>
      </c>
      <c r="C3" s="2">
        <f>E3+($C$2-G3)</f>
        <v>-8.4741882450783663</v>
      </c>
      <c r="D3" s="1">
        <v>6.8999999999999996E-7</v>
      </c>
      <c r="E3" s="2">
        <f>8.314*298.15/4184*LN(D3)</f>
        <v>-8.4048640506886727</v>
      </c>
      <c r="F3" s="1">
        <v>2.9999999999999997E-8</v>
      </c>
      <c r="G3" s="2">
        <f>8.314*298.15/4184*LN(F3)</f>
        <v>-10.262493818945053</v>
      </c>
    </row>
    <row r="4" spans="1:7" x14ac:dyDescent="0.3">
      <c r="A4" t="s">
        <v>56</v>
      </c>
      <c r="B4" t="s">
        <v>1</v>
      </c>
      <c r="C4" s="2">
        <f t="shared" ref="C4:C67" si="0">E4+($C$2-G4)</f>
        <v>-8.9482205116645375</v>
      </c>
      <c r="D4" s="1">
        <v>3.1E-7</v>
      </c>
      <c r="E4" s="2">
        <f t="shared" ref="E4:E67" si="1">8.314*298.15/4184*LN(D4)</f>
        <v>-8.8788963172748439</v>
      </c>
      <c r="F4" s="1">
        <v>2.9999999999999997E-8</v>
      </c>
      <c r="G4" s="2">
        <f t="shared" ref="G4:G67" si="2">8.314*298.15/4184*LN(F4)</f>
        <v>-10.262493818945053</v>
      </c>
    </row>
    <row r="5" spans="1:7" x14ac:dyDescent="0.3">
      <c r="A5" t="s">
        <v>57</v>
      </c>
      <c r="B5" t="s">
        <v>2</v>
      </c>
      <c r="C5" s="2">
        <f t="shared" si="0"/>
        <v>-8.5669478956785685</v>
      </c>
      <c r="D5" s="1">
        <v>5.8999999999999996E-7</v>
      </c>
      <c r="E5" s="2">
        <f t="shared" si="1"/>
        <v>-8.4976237012888749</v>
      </c>
      <c r="F5" s="1">
        <v>2.9999999999999997E-8</v>
      </c>
      <c r="G5" s="2">
        <f t="shared" si="2"/>
        <v>-10.262493818945053</v>
      </c>
    </row>
    <row r="6" spans="1:7" x14ac:dyDescent="0.3">
      <c r="A6" t="s">
        <v>58</v>
      </c>
      <c r="B6" t="s">
        <v>3</v>
      </c>
      <c r="C6" s="2">
        <f t="shared" si="0"/>
        <v>-7.8995689579311961</v>
      </c>
      <c r="D6" s="1">
        <v>1.8199999999999999E-6</v>
      </c>
      <c r="E6" s="2">
        <f t="shared" si="1"/>
        <v>-7.8302447635415025</v>
      </c>
      <c r="F6" s="1">
        <v>2.9999999999999997E-8</v>
      </c>
      <c r="G6" s="2">
        <f t="shared" si="2"/>
        <v>-10.262493818945053</v>
      </c>
    </row>
    <row r="7" spans="1:7" x14ac:dyDescent="0.3">
      <c r="A7" t="s">
        <v>59</v>
      </c>
      <c r="B7" t="s">
        <v>4</v>
      </c>
      <c r="C7" s="2">
        <f t="shared" si="0"/>
        <v>-7.5416475030479742</v>
      </c>
      <c r="D7" s="1">
        <v>3.3299999999999999E-6</v>
      </c>
      <c r="E7" s="2">
        <f t="shared" si="1"/>
        <v>-7.4723233086582805</v>
      </c>
      <c r="F7" s="1">
        <v>2.9999999999999997E-8</v>
      </c>
      <c r="G7" s="2">
        <f t="shared" si="2"/>
        <v>-10.262493818945053</v>
      </c>
    </row>
    <row r="8" spans="1:7" x14ac:dyDescent="0.3">
      <c r="A8" t="s">
        <v>60</v>
      </c>
      <c r="B8" t="s">
        <v>5</v>
      </c>
      <c r="C8" s="2">
        <f t="shared" si="0"/>
        <v>-7.3008361470014815</v>
      </c>
      <c r="D8" s="1">
        <v>5.0000000000000004E-6</v>
      </c>
      <c r="E8" s="2">
        <f t="shared" si="1"/>
        <v>-7.2315119526117879</v>
      </c>
      <c r="F8" s="1">
        <v>2.9999999999999997E-8</v>
      </c>
      <c r="G8" s="2">
        <f t="shared" si="2"/>
        <v>-10.262493818945053</v>
      </c>
    </row>
    <row r="9" spans="1:7" x14ac:dyDescent="0.3">
      <c r="A9" t="s">
        <v>61</v>
      </c>
      <c r="B9" t="s">
        <v>6</v>
      </c>
      <c r="C9" s="2">
        <f t="shared" si="0"/>
        <v>-7.8436944087898741</v>
      </c>
      <c r="D9" s="1">
        <v>1.9999999999999999E-6</v>
      </c>
      <c r="E9" s="2">
        <f t="shared" si="1"/>
        <v>-7.7743702144001805</v>
      </c>
      <c r="F9" s="1">
        <v>2.9999999999999997E-8</v>
      </c>
      <c r="G9" s="2">
        <f t="shared" si="2"/>
        <v>-10.262493818945053</v>
      </c>
    </row>
    <row r="10" spans="1:7" x14ac:dyDescent="0.3">
      <c r="A10" t="s">
        <v>62</v>
      </c>
      <c r="B10" t="s">
        <v>7</v>
      </c>
      <c r="C10" s="2">
        <f t="shared" si="0"/>
        <v>-7.4792264565378241</v>
      </c>
      <c r="D10" s="1">
        <v>3.7000000000000002E-6</v>
      </c>
      <c r="E10" s="2">
        <f t="shared" si="1"/>
        <v>-7.4099022621481305</v>
      </c>
      <c r="F10" s="1">
        <v>2.9999999999999997E-8</v>
      </c>
      <c r="G10" s="2">
        <f t="shared" si="2"/>
        <v>-10.262493818945053</v>
      </c>
    </row>
    <row r="11" spans="1:7" x14ac:dyDescent="0.3">
      <c r="A11" t="s">
        <v>63</v>
      </c>
      <c r="B11" t="s">
        <v>8</v>
      </c>
      <c r="C11" s="2">
        <f t="shared" si="0"/>
        <v>-7.6974416659112519</v>
      </c>
      <c r="D11" s="1">
        <v>2.5600000000000001E-6</v>
      </c>
      <c r="E11" s="2">
        <f t="shared" si="1"/>
        <v>-7.6281174715215583</v>
      </c>
      <c r="F11" s="1">
        <v>2.9999999999999997E-8</v>
      </c>
      <c r="G11" s="2">
        <f t="shared" si="2"/>
        <v>-10.262493818945053</v>
      </c>
    </row>
    <row r="12" spans="1:7" x14ac:dyDescent="0.3">
      <c r="A12" t="s">
        <v>64</v>
      </c>
      <c r="B12" t="s">
        <v>9</v>
      </c>
      <c r="C12" s="2">
        <f t="shared" si="0"/>
        <v>-7.9505274561513719</v>
      </c>
      <c r="D12" s="1">
        <v>1.6700000000000001E-6</v>
      </c>
      <c r="E12" s="2">
        <f t="shared" si="1"/>
        <v>-7.8812032617616783</v>
      </c>
      <c r="F12" s="1">
        <v>2.9999999999999997E-8</v>
      </c>
      <c r="G12" s="2">
        <f t="shared" si="2"/>
        <v>-10.262493818945053</v>
      </c>
    </row>
    <row r="13" spans="1:7" x14ac:dyDescent="0.3">
      <c r="A13" t="s">
        <v>65</v>
      </c>
      <c r="B13" t="s">
        <v>10</v>
      </c>
      <c r="C13" s="2">
        <f t="shared" si="0"/>
        <v>-7.6154449351780897</v>
      </c>
      <c r="D13" s="1">
        <v>2.9399999999999998E-6</v>
      </c>
      <c r="E13" s="2">
        <f t="shared" si="1"/>
        <v>-7.5461207407883961</v>
      </c>
      <c r="F13" s="1">
        <v>2.9999999999999997E-8</v>
      </c>
      <c r="G13" s="2">
        <f t="shared" si="2"/>
        <v>-10.262493818945053</v>
      </c>
    </row>
    <row r="14" spans="1:7" x14ac:dyDescent="0.3">
      <c r="A14" t="s">
        <v>66</v>
      </c>
      <c r="B14" t="s">
        <v>11</v>
      </c>
      <c r="C14" s="2">
        <f t="shared" si="0"/>
        <v>-8.0342172648449353</v>
      </c>
      <c r="D14" s="1">
        <v>1.4500000000000001E-6</v>
      </c>
      <c r="E14" s="2">
        <f t="shared" si="1"/>
        <v>-7.9648930704552416</v>
      </c>
      <c r="F14" s="1">
        <v>2.9999999999999997E-8</v>
      </c>
      <c r="G14" s="2">
        <f t="shared" si="2"/>
        <v>-10.262493818945053</v>
      </c>
    </row>
    <row r="15" spans="1:7" x14ac:dyDescent="0.3">
      <c r="A15" t="s">
        <v>67</v>
      </c>
      <c r="B15" t="s">
        <v>12</v>
      </c>
      <c r="C15" s="2">
        <f t="shared" si="0"/>
        <v>-6.9726858129022098</v>
      </c>
      <c r="D15" s="1">
        <v>8.6999999999999997E-6</v>
      </c>
      <c r="E15" s="2">
        <f t="shared" si="1"/>
        <v>-6.9033616185125162</v>
      </c>
      <c r="F15" s="1">
        <v>2.9999999999999997E-8</v>
      </c>
      <c r="G15" s="2">
        <f t="shared" si="2"/>
        <v>-10.262493818945053</v>
      </c>
    </row>
    <row r="16" spans="1:7" x14ac:dyDescent="0.3">
      <c r="A16" t="s">
        <v>68</v>
      </c>
      <c r="B16" t="s">
        <v>13</v>
      </c>
      <c r="C16" s="2">
        <f t="shared" si="0"/>
        <v>-8.0261013573298925</v>
      </c>
      <c r="D16" s="1">
        <v>1.4699999999999999E-6</v>
      </c>
      <c r="E16" s="2">
        <f t="shared" si="1"/>
        <v>-7.9567771629401989</v>
      </c>
      <c r="F16" s="1">
        <v>2.9999999999999997E-8</v>
      </c>
      <c r="G16" s="2">
        <f t="shared" si="2"/>
        <v>-10.262493818945053</v>
      </c>
    </row>
    <row r="17" spans="1:7" x14ac:dyDescent="0.3">
      <c r="A17" t="s">
        <v>69</v>
      </c>
      <c r="B17" t="s">
        <v>14</v>
      </c>
      <c r="C17" s="2">
        <f t="shared" si="0"/>
        <v>-7.408379142900599</v>
      </c>
      <c r="D17" s="1">
        <v>4.1699999999999999E-6</v>
      </c>
      <c r="E17" s="2">
        <f t="shared" si="1"/>
        <v>-7.3390549485109053</v>
      </c>
      <c r="F17" s="1">
        <v>2.9999999999999997E-8</v>
      </c>
      <c r="G17" s="2">
        <f t="shared" si="2"/>
        <v>-10.262493818945053</v>
      </c>
    </row>
    <row r="18" spans="1:7" x14ac:dyDescent="0.3">
      <c r="A18" t="s">
        <v>70</v>
      </c>
      <c r="B18" t="s">
        <v>15</v>
      </c>
      <c r="C18" s="2">
        <f t="shared" si="0"/>
        <v>-7.6485977505397189</v>
      </c>
      <c r="D18" s="1">
        <v>2.7800000000000001E-6</v>
      </c>
      <c r="E18" s="2">
        <f t="shared" si="1"/>
        <v>-7.5792735561500253</v>
      </c>
      <c r="F18" s="1">
        <v>2.9999999999999997E-8</v>
      </c>
      <c r="G18" s="2">
        <f t="shared" si="2"/>
        <v>-10.262493818945053</v>
      </c>
    </row>
    <row r="19" spans="1:7" x14ac:dyDescent="0.3">
      <c r="A19" t="s">
        <v>71</v>
      </c>
      <c r="B19" t="s">
        <v>16</v>
      </c>
      <c r="C19" s="2">
        <f t="shared" si="0"/>
        <v>-7.2047885130262879</v>
      </c>
      <c r="D19" s="1">
        <v>5.8799999999999996E-6</v>
      </c>
      <c r="E19" s="2">
        <f t="shared" si="1"/>
        <v>-7.1354643186365942</v>
      </c>
      <c r="F19" s="1">
        <v>2.9999999999999997E-8</v>
      </c>
      <c r="G19" s="2">
        <f t="shared" si="2"/>
        <v>-10.262493818945053</v>
      </c>
    </row>
    <row r="20" spans="1:7" x14ac:dyDescent="0.3">
      <c r="A20" t="s">
        <v>72</v>
      </c>
      <c r="B20" t="s">
        <v>17</v>
      </c>
      <c r="C20" s="2">
        <f t="shared" si="0"/>
        <v>-8.0424458968970143</v>
      </c>
      <c r="D20" s="1">
        <v>1.4300000000000001E-6</v>
      </c>
      <c r="E20" s="2">
        <f t="shared" si="1"/>
        <v>-7.9731217025073216</v>
      </c>
      <c r="F20" s="1">
        <v>2.9999999999999997E-8</v>
      </c>
      <c r="G20" s="2">
        <f t="shared" si="2"/>
        <v>-10.262493818945053</v>
      </c>
    </row>
    <row r="21" spans="1:7" x14ac:dyDescent="0.3">
      <c r="A21" t="s">
        <v>73</v>
      </c>
      <c r="B21" t="s">
        <v>18</v>
      </c>
      <c r="C21" s="2">
        <f t="shared" si="0"/>
        <v>-7.5597114628284201</v>
      </c>
      <c r="D21" s="1">
        <v>3.23E-6</v>
      </c>
      <c r="E21" s="2">
        <f t="shared" si="1"/>
        <v>-7.4903872684387265</v>
      </c>
      <c r="F21" s="1">
        <v>2.9999999999999997E-8</v>
      </c>
      <c r="G21" s="2">
        <f t="shared" si="2"/>
        <v>-10.262493818945053</v>
      </c>
    </row>
    <row r="22" spans="1:7" x14ac:dyDescent="0.3">
      <c r="A22" t="s">
        <v>74</v>
      </c>
      <c r="B22" t="s">
        <v>19</v>
      </c>
      <c r="C22" s="2">
        <f t="shared" si="0"/>
        <v>-7.6317894747452133</v>
      </c>
      <c r="D22" s="1">
        <v>2.8600000000000001E-6</v>
      </c>
      <c r="E22" s="2">
        <f t="shared" si="1"/>
        <v>-7.5624652803555197</v>
      </c>
      <c r="F22" s="1">
        <v>2.9999999999999997E-8</v>
      </c>
      <c r="G22" s="2">
        <f t="shared" si="2"/>
        <v>-10.262493818945053</v>
      </c>
    </row>
    <row r="23" spans="1:7" x14ac:dyDescent="0.3">
      <c r="A23" t="s">
        <v>75</v>
      </c>
      <c r="B23" t="s">
        <v>20</v>
      </c>
      <c r="C23" s="2">
        <f t="shared" si="0"/>
        <v>-7.8436944087898741</v>
      </c>
      <c r="D23" s="1">
        <v>1.9999999999999999E-6</v>
      </c>
      <c r="E23" s="2">
        <f t="shared" si="1"/>
        <v>-7.7743702144001805</v>
      </c>
      <c r="F23" s="1">
        <v>2.9999999999999997E-8</v>
      </c>
      <c r="G23" s="2">
        <f t="shared" si="2"/>
        <v>-10.262493818945053</v>
      </c>
    </row>
    <row r="24" spans="1:7" x14ac:dyDescent="0.3">
      <c r="A24" t="s">
        <v>76</v>
      </c>
      <c r="B24" t="s">
        <v>21</v>
      </c>
      <c r="C24" s="2">
        <f t="shared" si="0"/>
        <v>-7.8740832228027289</v>
      </c>
      <c r="D24" s="1">
        <v>1.9E-6</v>
      </c>
      <c r="E24" s="2">
        <f t="shared" si="1"/>
        <v>-7.8047590284130353</v>
      </c>
      <c r="F24" s="1">
        <v>2.9999999999999997E-8</v>
      </c>
      <c r="G24" s="2">
        <f t="shared" si="2"/>
        <v>-10.262493818945053</v>
      </c>
    </row>
    <row r="25" spans="1:7" x14ac:dyDescent="0.3">
      <c r="A25" t="s">
        <v>77</v>
      </c>
      <c r="B25" t="s">
        <v>22</v>
      </c>
      <c r="C25" s="2">
        <f t="shared" si="0"/>
        <v>-9.6185219370336732</v>
      </c>
      <c r="D25" s="1">
        <v>9.9999999999999995E-8</v>
      </c>
      <c r="E25" s="2">
        <f t="shared" si="1"/>
        <v>-9.5491977426439796</v>
      </c>
      <c r="F25" s="1">
        <v>2.9999999999999997E-8</v>
      </c>
      <c r="G25" s="2">
        <f t="shared" si="2"/>
        <v>-10.262493818945053</v>
      </c>
    </row>
    <row r="26" spans="1:7" x14ac:dyDescent="0.3">
      <c r="A26" t="s">
        <v>78</v>
      </c>
      <c r="B26" t="s">
        <v>23</v>
      </c>
      <c r="C26" s="2">
        <f t="shared" si="0"/>
        <v>-9.5620552319372596</v>
      </c>
      <c r="D26" s="1">
        <v>1.1000000000000001E-7</v>
      </c>
      <c r="E26" s="2">
        <f t="shared" si="1"/>
        <v>-9.492731037547566</v>
      </c>
      <c r="F26" s="1">
        <v>2.9999999999999997E-8</v>
      </c>
      <c r="G26" s="2">
        <f t="shared" si="2"/>
        <v>-10.262493818945053</v>
      </c>
    </row>
    <row r="27" spans="1:7" x14ac:dyDescent="0.3">
      <c r="A27" t="s">
        <v>79</v>
      </c>
      <c r="B27" t="s">
        <v>3</v>
      </c>
      <c r="C27" s="2">
        <f t="shared" si="0"/>
        <v>-7.7818661106870941</v>
      </c>
      <c r="D27" s="1">
        <v>1.8500000000000001E-6</v>
      </c>
      <c r="E27" s="2">
        <f t="shared" si="1"/>
        <v>-7.8205586842999324</v>
      </c>
      <c r="F27" s="1">
        <v>2.4999999999999999E-8</v>
      </c>
      <c r="G27" s="2">
        <f t="shared" si="2"/>
        <v>-10.370510586947585</v>
      </c>
    </row>
    <row r="28" spans="1:7" x14ac:dyDescent="0.3">
      <c r="A28" t="s">
        <v>80</v>
      </c>
      <c r="B28" t="s">
        <v>4</v>
      </c>
      <c r="C28" s="2">
        <f t="shared" si="0"/>
        <v>-7.4195659324735939</v>
      </c>
      <c r="D28" s="1">
        <v>3.41E-6</v>
      </c>
      <c r="E28" s="2">
        <f t="shared" si="1"/>
        <v>-7.4582585060864321</v>
      </c>
      <c r="F28" s="1">
        <v>2.4999999999999999E-8</v>
      </c>
      <c r="G28" s="2">
        <f t="shared" si="2"/>
        <v>-10.370510586947585</v>
      </c>
    </row>
    <row r="29" spans="1:7" x14ac:dyDescent="0.3">
      <c r="A29" t="s">
        <v>81</v>
      </c>
      <c r="B29" t="s">
        <v>5</v>
      </c>
      <c r="C29" s="2">
        <f t="shared" si="0"/>
        <v>-7.1730108795805014</v>
      </c>
      <c r="D29" s="1">
        <v>5.1699999999999996E-6</v>
      </c>
      <c r="E29" s="2">
        <f t="shared" si="1"/>
        <v>-7.2117034531933397</v>
      </c>
      <c r="F29" s="1">
        <v>2.4999999999999999E-8</v>
      </c>
      <c r="G29" s="2">
        <f t="shared" si="2"/>
        <v>-10.370510586947585</v>
      </c>
    </row>
    <row r="30" spans="1:7" x14ac:dyDescent="0.3">
      <c r="A30" t="s">
        <v>82</v>
      </c>
      <c r="B30" t="s">
        <v>6</v>
      </c>
      <c r="C30" s="2">
        <f t="shared" si="0"/>
        <v>-7.7268568527801698</v>
      </c>
      <c r="D30" s="1">
        <v>2.03E-6</v>
      </c>
      <c r="E30" s="2">
        <f t="shared" si="1"/>
        <v>-7.765549426393008</v>
      </c>
      <c r="F30" s="1">
        <v>2.4999999999999999E-8</v>
      </c>
      <c r="G30" s="2">
        <f t="shared" si="2"/>
        <v>-10.370510586947585</v>
      </c>
    </row>
    <row r="31" spans="1:7" x14ac:dyDescent="0.3">
      <c r="A31" t="s">
        <v>83</v>
      </c>
      <c r="B31" t="s">
        <v>7</v>
      </c>
      <c r="C31" s="2">
        <f t="shared" si="0"/>
        <v>-7.3632571935116307</v>
      </c>
      <c r="D31" s="1">
        <v>3.7500000000000001E-6</v>
      </c>
      <c r="E31" s="2">
        <f t="shared" si="1"/>
        <v>-7.4019497671244689</v>
      </c>
      <c r="F31" s="1">
        <v>2.4999999999999999E-8</v>
      </c>
      <c r="G31" s="2">
        <f t="shared" si="2"/>
        <v>-10.370510586947585</v>
      </c>
    </row>
    <row r="32" spans="1:7" x14ac:dyDescent="0.3">
      <c r="A32" t="s">
        <v>84</v>
      </c>
      <c r="B32" t="s">
        <v>8</v>
      </c>
      <c r="C32" s="2">
        <f t="shared" si="0"/>
        <v>-7.5734425650121793</v>
      </c>
      <c r="D32" s="1">
        <v>2.6299999999999998E-6</v>
      </c>
      <c r="E32" s="2">
        <f t="shared" si="1"/>
        <v>-7.6121351386250176</v>
      </c>
      <c r="F32" s="1">
        <v>2.4999999999999999E-8</v>
      </c>
      <c r="G32" s="2">
        <f t="shared" si="2"/>
        <v>-10.370510586947585</v>
      </c>
    </row>
    <row r="33" spans="1:7" x14ac:dyDescent="0.3">
      <c r="A33" t="s">
        <v>85</v>
      </c>
      <c r="B33" t="s">
        <v>9</v>
      </c>
      <c r="C33" s="2">
        <f t="shared" si="0"/>
        <v>-7.8319623029648371</v>
      </c>
      <c r="D33" s="1">
        <v>1.7E-6</v>
      </c>
      <c r="E33" s="2">
        <f t="shared" si="1"/>
        <v>-7.8706548765776754</v>
      </c>
      <c r="F33" s="1">
        <v>2.4999999999999999E-8</v>
      </c>
      <c r="G33" s="2">
        <f t="shared" si="2"/>
        <v>-10.370510586947585</v>
      </c>
    </row>
    <row r="34" spans="1:7" x14ac:dyDescent="0.3">
      <c r="A34" t="s">
        <v>86</v>
      </c>
      <c r="B34" t="s">
        <v>10</v>
      </c>
      <c r="C34" s="2">
        <f t="shared" si="0"/>
        <v>-7.4954590331482214</v>
      </c>
      <c r="D34" s="1">
        <v>3.0000000000000001E-6</v>
      </c>
      <c r="E34" s="2">
        <f t="shared" si="1"/>
        <v>-7.5341516067610597</v>
      </c>
      <c r="F34" s="1">
        <v>2.4999999999999999E-8</v>
      </c>
      <c r="G34" s="2">
        <f t="shared" si="2"/>
        <v>-10.370510586947585</v>
      </c>
    </row>
    <row r="35" spans="1:7" x14ac:dyDescent="0.3">
      <c r="A35" t="s">
        <v>87</v>
      </c>
      <c r="B35" t="s">
        <v>11</v>
      </c>
      <c r="C35" s="2">
        <f t="shared" si="0"/>
        <v>-7.9100783595992272</v>
      </c>
      <c r="D35" s="1">
        <v>1.4899999999999999E-6</v>
      </c>
      <c r="E35" s="2">
        <f t="shared" si="1"/>
        <v>-7.9487709332120655</v>
      </c>
      <c r="F35" s="1">
        <v>2.4999999999999999E-8</v>
      </c>
      <c r="G35" s="2">
        <f t="shared" si="2"/>
        <v>-10.370510586947585</v>
      </c>
    </row>
    <row r="36" spans="1:7" x14ac:dyDescent="0.3">
      <c r="A36" t="s">
        <v>88</v>
      </c>
      <c r="B36" t="s">
        <v>12</v>
      </c>
      <c r="C36" s="2">
        <f t="shared" si="0"/>
        <v>-6.8565531373846351</v>
      </c>
      <c r="D36" s="1">
        <v>8.8200000000000003E-6</v>
      </c>
      <c r="E36" s="2">
        <f t="shared" si="1"/>
        <v>-6.8952457109974734</v>
      </c>
      <c r="F36" s="1">
        <v>2.4999999999999999E-8</v>
      </c>
      <c r="G36" s="2">
        <f t="shared" si="2"/>
        <v>-10.370510586947585</v>
      </c>
    </row>
    <row r="37" spans="1:7" x14ac:dyDescent="0.3">
      <c r="A37" t="s">
        <v>89</v>
      </c>
      <c r="B37" t="s">
        <v>13</v>
      </c>
      <c r="C37" s="2">
        <f t="shared" si="0"/>
        <v>-7.9061154553000232</v>
      </c>
      <c r="D37" s="1">
        <v>1.5E-6</v>
      </c>
      <c r="E37" s="2">
        <f t="shared" si="1"/>
        <v>-7.9448080289128615</v>
      </c>
      <c r="F37" s="1">
        <v>2.4999999999999999E-8</v>
      </c>
      <c r="G37" s="2">
        <f t="shared" si="2"/>
        <v>-10.370510586947585</v>
      </c>
    </row>
    <row r="38" spans="1:7" x14ac:dyDescent="0.3">
      <c r="A38" t="s">
        <v>90</v>
      </c>
      <c r="B38" t="s">
        <v>14</v>
      </c>
      <c r="C38" s="2">
        <f t="shared" si="0"/>
        <v>-7.2835540991035606</v>
      </c>
      <c r="D38" s="1">
        <v>4.2899999999999996E-6</v>
      </c>
      <c r="E38" s="2">
        <f t="shared" si="1"/>
        <v>-7.3222466727163988</v>
      </c>
      <c r="F38" s="1">
        <v>2.4999999999999999E-8</v>
      </c>
      <c r="G38" s="2">
        <f t="shared" si="2"/>
        <v>-10.370510586947585</v>
      </c>
    </row>
    <row r="39" spans="1:7" x14ac:dyDescent="0.3">
      <c r="A39" t="s">
        <v>91</v>
      </c>
      <c r="B39" t="s">
        <v>15</v>
      </c>
      <c r="C39" s="2">
        <f t="shared" si="0"/>
        <v>-7.5300200614726123</v>
      </c>
      <c r="D39" s="1">
        <v>2.83E-6</v>
      </c>
      <c r="E39" s="2">
        <f t="shared" si="1"/>
        <v>-7.5687126350854506</v>
      </c>
      <c r="F39" s="1">
        <v>2.4999999999999999E-8</v>
      </c>
      <c r="G39" s="2">
        <f t="shared" si="2"/>
        <v>-10.370510586947585</v>
      </c>
    </row>
    <row r="40" spans="1:7" x14ac:dyDescent="0.3">
      <c r="A40" t="s">
        <v>92</v>
      </c>
      <c r="B40" t="s">
        <v>17</v>
      </c>
      <c r="C40" s="2">
        <f t="shared" si="0"/>
        <v>-7.9221286458743103</v>
      </c>
      <c r="D40" s="1">
        <v>1.46E-6</v>
      </c>
      <c r="E40" s="2">
        <f t="shared" si="1"/>
        <v>-7.9608212194871486</v>
      </c>
      <c r="F40" s="1">
        <v>2.4999999999999999E-8</v>
      </c>
      <c r="G40" s="2">
        <f t="shared" si="2"/>
        <v>-10.370510586947585</v>
      </c>
    </row>
    <row r="41" spans="1:7" x14ac:dyDescent="0.3">
      <c r="A41" t="s">
        <v>93</v>
      </c>
      <c r="B41" t="s">
        <v>18</v>
      </c>
      <c r="C41" s="2">
        <f t="shared" si="0"/>
        <v>-7.4462174417885842</v>
      </c>
      <c r="D41" s="1">
        <v>3.2600000000000001E-6</v>
      </c>
      <c r="E41" s="2">
        <f t="shared" si="1"/>
        <v>-7.4849100154014225</v>
      </c>
      <c r="F41" s="1">
        <v>2.4999999999999999E-8</v>
      </c>
      <c r="G41" s="2">
        <f t="shared" si="2"/>
        <v>-10.370510586947585</v>
      </c>
    </row>
    <row r="42" spans="1:7" x14ac:dyDescent="0.3">
      <c r="A42" t="s">
        <v>94</v>
      </c>
      <c r="B42" t="s">
        <v>19</v>
      </c>
      <c r="C42" s="2">
        <f t="shared" si="0"/>
        <v>-7.5074281671755578</v>
      </c>
      <c r="D42" s="1">
        <v>2.9399999999999998E-6</v>
      </c>
      <c r="E42" s="2">
        <f t="shared" si="1"/>
        <v>-7.5461207407883961</v>
      </c>
      <c r="F42" s="1">
        <v>2.4999999999999999E-8</v>
      </c>
      <c r="G42" s="2">
        <f t="shared" si="2"/>
        <v>-10.370510586947585</v>
      </c>
    </row>
    <row r="43" spans="1:7" x14ac:dyDescent="0.3">
      <c r="A43" t="s">
        <v>95</v>
      </c>
      <c r="B43" t="s">
        <v>24</v>
      </c>
      <c r="C43" s="2">
        <f t="shared" si="0"/>
        <v>-8.0047280261061911</v>
      </c>
      <c r="D43" s="1">
        <v>1.2699999999999999E-6</v>
      </c>
      <c r="E43" s="2">
        <f t="shared" si="1"/>
        <v>-8.0434205997190293</v>
      </c>
      <c r="F43" s="1">
        <v>2.4999999999999999E-8</v>
      </c>
      <c r="G43" s="2">
        <f t="shared" si="2"/>
        <v>-10.370510586947585</v>
      </c>
    </row>
    <row r="44" spans="1:7" x14ac:dyDescent="0.3">
      <c r="A44" t="s">
        <v>96</v>
      </c>
      <c r="B44" t="s">
        <v>25</v>
      </c>
      <c r="C44" s="2">
        <f t="shared" si="0"/>
        <v>-7.4336307350454423</v>
      </c>
      <c r="D44" s="1">
        <v>3.3299999999999999E-6</v>
      </c>
      <c r="E44" s="2">
        <f t="shared" si="1"/>
        <v>-7.4723233086582805</v>
      </c>
      <c r="F44" s="1">
        <v>2.4999999999999999E-8</v>
      </c>
      <c r="G44" s="2">
        <f t="shared" si="2"/>
        <v>-10.370510586947585</v>
      </c>
    </row>
    <row r="45" spans="1:7" x14ac:dyDescent="0.3">
      <c r="A45" t="s">
        <v>97</v>
      </c>
      <c r="B45" t="s">
        <v>27</v>
      </c>
      <c r="C45" s="2">
        <f t="shared" si="0"/>
        <v>-7.4954590331482214</v>
      </c>
      <c r="D45" s="1">
        <v>3.0000000000000001E-6</v>
      </c>
      <c r="E45" s="2">
        <f t="shared" si="1"/>
        <v>-7.5341516067610597</v>
      </c>
      <c r="F45" s="1">
        <v>2.4999999999999999E-8</v>
      </c>
      <c r="G45" s="2">
        <f t="shared" si="2"/>
        <v>-10.370510586947585</v>
      </c>
    </row>
    <row r="46" spans="1:7" x14ac:dyDescent="0.3">
      <c r="A46" t="s">
        <v>98</v>
      </c>
      <c r="B46" t="s">
        <v>28</v>
      </c>
      <c r="C46" s="2">
        <f t="shared" si="0"/>
        <v>-7.7210484534742649</v>
      </c>
      <c r="D46" s="1">
        <v>2.0499999999999999E-6</v>
      </c>
      <c r="E46" s="2">
        <f t="shared" si="1"/>
        <v>-7.7597410270871032</v>
      </c>
      <c r="F46" s="1">
        <v>2.4999999999999999E-8</v>
      </c>
      <c r="G46" s="2">
        <f t="shared" si="2"/>
        <v>-10.370510586947585</v>
      </c>
    </row>
    <row r="47" spans="1:7" x14ac:dyDescent="0.3">
      <c r="A47" t="s">
        <v>99</v>
      </c>
      <c r="B47" t="s">
        <v>29</v>
      </c>
      <c r="C47" s="2">
        <f t="shared" si="0"/>
        <v>-7.7210484534742649</v>
      </c>
      <c r="D47" s="1">
        <v>2.0499999999999999E-6</v>
      </c>
      <c r="E47" s="2">
        <f t="shared" si="1"/>
        <v>-7.7597410270871032</v>
      </c>
      <c r="F47" s="1">
        <v>2.4999999999999999E-8</v>
      </c>
      <c r="G47" s="2">
        <f t="shared" si="2"/>
        <v>-10.370510586947585</v>
      </c>
    </row>
    <row r="48" spans="1:7" x14ac:dyDescent="0.3">
      <c r="A48" t="s">
        <v>100</v>
      </c>
      <c r="B48" t="s">
        <v>30</v>
      </c>
      <c r="C48" s="2">
        <f t="shared" si="0"/>
        <v>-7.6503051061413769</v>
      </c>
      <c r="D48" s="1">
        <v>2.3099999999999999E-6</v>
      </c>
      <c r="E48" s="2">
        <f t="shared" si="1"/>
        <v>-7.6889976797542152</v>
      </c>
      <c r="F48" s="1">
        <v>2.4999999999999999E-8</v>
      </c>
      <c r="G48" s="2">
        <f t="shared" si="2"/>
        <v>-10.370510586947585</v>
      </c>
    </row>
    <row r="49" spans="1:7" x14ac:dyDescent="0.3">
      <c r="A49" t="s">
        <v>101</v>
      </c>
      <c r="B49" t="s">
        <v>0</v>
      </c>
      <c r="C49" s="2">
        <f t="shared" si="0"/>
        <v>-8.354271037115911</v>
      </c>
      <c r="D49" s="1">
        <v>7.0399999999999995E-7</v>
      </c>
      <c r="E49" s="2">
        <f t="shared" si="1"/>
        <v>-8.3929636107287493</v>
      </c>
      <c r="F49" s="1">
        <v>2.4999999999999999E-8</v>
      </c>
      <c r="G49" s="2">
        <f t="shared" si="2"/>
        <v>-10.370510586947585</v>
      </c>
    </row>
    <row r="50" spans="1:7" x14ac:dyDescent="0.3">
      <c r="A50" t="s">
        <v>102</v>
      </c>
      <c r="B50" t="s">
        <v>1</v>
      </c>
      <c r="C50" s="2">
        <f t="shared" si="0"/>
        <v>-8.8251086090313606</v>
      </c>
      <c r="D50" s="1">
        <v>3.1800000000000002E-7</v>
      </c>
      <c r="E50" s="2">
        <f t="shared" si="1"/>
        <v>-8.8638011826441989</v>
      </c>
      <c r="F50" s="1">
        <v>2.4999999999999999E-8</v>
      </c>
      <c r="G50" s="2">
        <f t="shared" si="2"/>
        <v>-10.370510586947585</v>
      </c>
    </row>
    <row r="51" spans="1:7" x14ac:dyDescent="0.3">
      <c r="A51" t="s">
        <v>103</v>
      </c>
      <c r="B51" t="s">
        <v>2</v>
      </c>
      <c r="C51" s="2">
        <f t="shared" si="0"/>
        <v>-8.4489737170884158</v>
      </c>
      <c r="D51" s="1">
        <v>5.9999999999999997E-7</v>
      </c>
      <c r="E51" s="2">
        <f t="shared" si="1"/>
        <v>-8.4876662907012541</v>
      </c>
      <c r="F51" s="1">
        <v>2.4999999999999999E-8</v>
      </c>
      <c r="G51" s="2">
        <f t="shared" si="2"/>
        <v>-10.370510586947585</v>
      </c>
    </row>
    <row r="52" spans="1:7" x14ac:dyDescent="0.3">
      <c r="A52" t="s">
        <v>104</v>
      </c>
      <c r="B52" t="s">
        <v>23</v>
      </c>
      <c r="C52" s="2">
        <f t="shared" si="0"/>
        <v>-9.9211615911829441</v>
      </c>
      <c r="D52" s="1">
        <v>4.9999999999999998E-8</v>
      </c>
      <c r="E52" s="2">
        <f t="shared" si="1"/>
        <v>-9.9598541647957823</v>
      </c>
      <c r="F52" s="1">
        <v>2.4999999999999999E-8</v>
      </c>
      <c r="G52" s="2">
        <f t="shared" si="2"/>
        <v>-10.370510586947585</v>
      </c>
    </row>
    <row r="53" spans="1:7" x14ac:dyDescent="0.3">
      <c r="A53" t="s">
        <v>105</v>
      </c>
      <c r="B53" t="s">
        <v>31</v>
      </c>
      <c r="C53" s="2">
        <f t="shared" si="0"/>
        <v>-10.679579616872983</v>
      </c>
      <c r="D53" s="1">
        <v>1.39E-8</v>
      </c>
      <c r="E53" s="2">
        <f t="shared" si="1"/>
        <v>-10.718272190485822</v>
      </c>
      <c r="F53" s="1">
        <v>2.4999999999999999E-8</v>
      </c>
      <c r="G53" s="2">
        <f t="shared" si="2"/>
        <v>-10.370510586947585</v>
      </c>
    </row>
    <row r="54" spans="1:7" x14ac:dyDescent="0.3">
      <c r="A54" t="s">
        <v>106</v>
      </c>
      <c r="B54" t="s">
        <v>32</v>
      </c>
      <c r="C54" s="2">
        <f t="shared" si="0"/>
        <v>-8.8344979019627772</v>
      </c>
      <c r="D54" s="1">
        <v>3.1300000000000001E-7</v>
      </c>
      <c r="E54" s="2">
        <f t="shared" si="1"/>
        <v>-8.8731904755756155</v>
      </c>
      <c r="F54" s="1">
        <v>2.4999999999999999E-8</v>
      </c>
      <c r="G54" s="2">
        <f t="shared" si="2"/>
        <v>-10.370510586947585</v>
      </c>
    </row>
    <row r="55" spans="1:7" x14ac:dyDescent="0.3">
      <c r="A55" t="s">
        <v>107</v>
      </c>
      <c r="B55" t="s">
        <v>33</v>
      </c>
      <c r="C55" s="2">
        <f t="shared" si="0"/>
        <v>-9.9211615911829441</v>
      </c>
      <c r="D55" s="1">
        <v>4.9999999999999998E-8</v>
      </c>
      <c r="E55" s="2">
        <f t="shared" si="1"/>
        <v>-9.9598541647957823</v>
      </c>
      <c r="F55" s="1">
        <v>2.4999999999999999E-8</v>
      </c>
      <c r="G55" s="2">
        <f t="shared" si="2"/>
        <v>-10.370510586947585</v>
      </c>
    </row>
    <row r="56" spans="1:7" x14ac:dyDescent="0.3">
      <c r="A56" t="s">
        <v>108</v>
      </c>
      <c r="B56" t="s">
        <v>34</v>
      </c>
      <c r="C56" s="2">
        <f t="shared" si="0"/>
        <v>-9.6187589652359744</v>
      </c>
      <c r="D56" s="1">
        <v>8.3299999999999998E-8</v>
      </c>
      <c r="E56" s="2">
        <f t="shared" si="1"/>
        <v>-9.6574515388488127</v>
      </c>
      <c r="F56" s="1">
        <v>2.4999999999999999E-8</v>
      </c>
      <c r="G56" s="2">
        <f t="shared" si="2"/>
        <v>-10.370510586947585</v>
      </c>
    </row>
    <row r="57" spans="1:7" x14ac:dyDescent="0.3">
      <c r="A57" t="s">
        <v>109</v>
      </c>
      <c r="B57" t="s">
        <v>35</v>
      </c>
      <c r="C57" s="2">
        <f t="shared" si="0"/>
        <v>-8.8344979019627772</v>
      </c>
      <c r="D57" s="1">
        <v>3.1300000000000001E-7</v>
      </c>
      <c r="E57" s="2">
        <f t="shared" si="1"/>
        <v>-8.8731904755756155</v>
      </c>
      <c r="F57" s="1">
        <v>2.4999999999999999E-8</v>
      </c>
      <c r="G57" s="2">
        <f t="shared" si="2"/>
        <v>-10.370510586947585</v>
      </c>
    </row>
    <row r="58" spans="1:7" x14ac:dyDescent="0.3">
      <c r="A58" t="s">
        <v>110</v>
      </c>
      <c r="B58" t="s">
        <v>36</v>
      </c>
      <c r="C58" s="2">
        <f t="shared" si="0"/>
        <v>-10.331818013334747</v>
      </c>
      <c r="D58" s="1">
        <v>2.4999999999999999E-8</v>
      </c>
      <c r="E58" s="2">
        <f t="shared" si="1"/>
        <v>-10.370510586947585</v>
      </c>
      <c r="F58" s="1">
        <v>2.4999999999999999E-8</v>
      </c>
      <c r="G58" s="2">
        <f t="shared" si="2"/>
        <v>-10.370510586947585</v>
      </c>
    </row>
    <row r="59" spans="1:7" x14ac:dyDescent="0.3">
      <c r="A59" t="s">
        <v>111</v>
      </c>
      <c r="B59" t="s">
        <v>37</v>
      </c>
      <c r="C59" s="2">
        <f t="shared" si="0"/>
        <v>-9.7889597515463542</v>
      </c>
      <c r="D59" s="1">
        <v>6.2499999999999997E-8</v>
      </c>
      <c r="E59" s="2">
        <f t="shared" si="1"/>
        <v>-9.8276523251591925</v>
      </c>
      <c r="F59" s="1">
        <v>2.4999999999999999E-8</v>
      </c>
      <c r="G59" s="2">
        <f t="shared" si="2"/>
        <v>-10.370510586947585</v>
      </c>
    </row>
    <row r="60" spans="1:7" x14ac:dyDescent="0.3">
      <c r="A60" t="s">
        <v>112</v>
      </c>
      <c r="B60" t="s">
        <v>38</v>
      </c>
      <c r="C60" s="2">
        <f t="shared" si="0"/>
        <v>-9.7889597515463542</v>
      </c>
      <c r="D60" s="1">
        <v>6.2499999999999997E-8</v>
      </c>
      <c r="E60" s="2">
        <f t="shared" si="1"/>
        <v>-9.8276523251591925</v>
      </c>
      <c r="F60" s="1">
        <v>2.4999999999999999E-8</v>
      </c>
      <c r="G60" s="2">
        <f t="shared" si="2"/>
        <v>-10.370510586947585</v>
      </c>
    </row>
    <row r="61" spans="1:7" x14ac:dyDescent="0.3">
      <c r="A61" t="s">
        <v>113</v>
      </c>
      <c r="B61" t="s">
        <v>39</v>
      </c>
      <c r="C61" s="2">
        <f t="shared" si="0"/>
        <v>-10.198669008054773</v>
      </c>
      <c r="D61" s="1">
        <v>3.1300000000000002E-8</v>
      </c>
      <c r="E61" s="2">
        <f t="shared" si="1"/>
        <v>-10.237361581667612</v>
      </c>
      <c r="F61" s="1">
        <v>2.4999999999999999E-8</v>
      </c>
      <c r="G61" s="2">
        <f t="shared" si="2"/>
        <v>-10.370510586947585</v>
      </c>
    </row>
    <row r="62" spans="1:7" x14ac:dyDescent="0.3">
      <c r="A62" t="s">
        <v>114</v>
      </c>
      <c r="B62" t="s">
        <v>40</v>
      </c>
      <c r="C62" s="2">
        <f t="shared" si="0"/>
        <v>-9.9211615911829441</v>
      </c>
      <c r="D62" s="1">
        <v>4.9999999999999998E-8</v>
      </c>
      <c r="E62" s="2">
        <f t="shared" si="1"/>
        <v>-9.9598541647957823</v>
      </c>
      <c r="F62" s="1">
        <v>2.4999999999999999E-8</v>
      </c>
      <c r="G62" s="2">
        <f t="shared" si="2"/>
        <v>-10.370510586947585</v>
      </c>
    </row>
    <row r="63" spans="1:7" x14ac:dyDescent="0.3">
      <c r="A63" t="s">
        <v>115</v>
      </c>
      <c r="B63" t="s">
        <v>41</v>
      </c>
      <c r="C63" s="2">
        <f t="shared" si="0"/>
        <v>-10.488204924605395</v>
      </c>
      <c r="D63" s="1">
        <v>1.92E-8</v>
      </c>
      <c r="E63" s="2">
        <f t="shared" si="1"/>
        <v>-10.526897498218233</v>
      </c>
      <c r="F63" s="1">
        <v>2.4999999999999999E-8</v>
      </c>
      <c r="G63" s="2">
        <f t="shared" si="2"/>
        <v>-10.370510586947585</v>
      </c>
    </row>
    <row r="64" spans="1:7" x14ac:dyDescent="0.3">
      <c r="A64" t="s">
        <v>116</v>
      </c>
      <c r="B64" t="s">
        <v>42</v>
      </c>
      <c r="C64" s="2">
        <f t="shared" si="0"/>
        <v>-10.570852900332833</v>
      </c>
      <c r="D64" s="1">
        <v>1.6700000000000001E-8</v>
      </c>
      <c r="E64" s="2">
        <f t="shared" si="1"/>
        <v>-10.609545473945671</v>
      </c>
      <c r="F64" s="1">
        <v>2.4999999999999999E-8</v>
      </c>
      <c r="G64" s="2">
        <f t="shared" si="2"/>
        <v>-10.370510586947585</v>
      </c>
    </row>
    <row r="65" spans="1:7" x14ac:dyDescent="0.3">
      <c r="A65" t="s">
        <v>117</v>
      </c>
      <c r="B65" t="s">
        <v>43</v>
      </c>
      <c r="C65" s="2">
        <f t="shared" si="0"/>
        <v>-8.8344979019627772</v>
      </c>
      <c r="D65" s="1">
        <v>3.1300000000000001E-7</v>
      </c>
      <c r="E65" s="2">
        <f t="shared" si="1"/>
        <v>-8.8731904755756155</v>
      </c>
      <c r="F65" s="1">
        <v>2.4999999999999999E-8</v>
      </c>
      <c r="G65" s="2">
        <f t="shared" si="2"/>
        <v>-10.370510586947585</v>
      </c>
    </row>
    <row r="66" spans="1:7" x14ac:dyDescent="0.3">
      <c r="A66" t="s">
        <v>118</v>
      </c>
      <c r="B66" t="s">
        <v>44</v>
      </c>
      <c r="C66" s="2">
        <f t="shared" si="0"/>
        <v>-9.9211615911829441</v>
      </c>
      <c r="D66" s="1">
        <v>4.9999999999999998E-8</v>
      </c>
      <c r="E66" s="2">
        <f t="shared" si="1"/>
        <v>-9.9598541647957823</v>
      </c>
      <c r="F66" s="1">
        <v>2.4999999999999999E-8</v>
      </c>
      <c r="G66" s="2">
        <f t="shared" si="2"/>
        <v>-10.370510586947585</v>
      </c>
    </row>
    <row r="67" spans="1:7" x14ac:dyDescent="0.3">
      <c r="A67" t="s">
        <v>119</v>
      </c>
      <c r="B67" t="s">
        <v>45</v>
      </c>
      <c r="C67" s="2">
        <f t="shared" si="0"/>
        <v>-9.7889597515463542</v>
      </c>
      <c r="D67" s="1">
        <v>6.2499999999999997E-8</v>
      </c>
      <c r="E67" s="2">
        <f t="shared" si="1"/>
        <v>-9.8276523251591925</v>
      </c>
      <c r="F67" s="1">
        <v>2.4999999999999999E-8</v>
      </c>
      <c r="G67" s="2">
        <f t="shared" si="2"/>
        <v>-10.370510586947585</v>
      </c>
    </row>
    <row r="68" spans="1:7" x14ac:dyDescent="0.3">
      <c r="A68" t="s">
        <v>120</v>
      </c>
      <c r="B68" t="s">
        <v>46</v>
      </c>
      <c r="C68" s="2">
        <f t="shared" ref="C68:C69" si="3">E68+($C$2-G68)</f>
        <v>-10.120742263447479</v>
      </c>
      <c r="D68" s="1">
        <v>3.5700000000000002E-8</v>
      </c>
      <c r="E68" s="2">
        <f t="shared" ref="E68:E69" si="4">8.314*298.15/4184*LN(D68)</f>
        <v>-10.159434837060317</v>
      </c>
      <c r="F68" s="1">
        <v>2.4999999999999999E-8</v>
      </c>
      <c r="G68" s="2">
        <f t="shared" ref="G68:G69" si="5">8.314*298.15/4184*LN(F68)</f>
        <v>-10.370510586947585</v>
      </c>
    </row>
    <row r="69" spans="1:7" x14ac:dyDescent="0.3">
      <c r="A69" t="s">
        <v>121</v>
      </c>
      <c r="B69" t="s">
        <v>47</v>
      </c>
      <c r="C69" s="2">
        <f t="shared" si="3"/>
        <v>-10.331818013334747</v>
      </c>
      <c r="D69" s="1">
        <v>2.4999999999999999E-8</v>
      </c>
      <c r="E69" s="2">
        <f t="shared" si="4"/>
        <v>-10.370510586947585</v>
      </c>
      <c r="F69" s="1">
        <v>2.4999999999999999E-8</v>
      </c>
      <c r="G69" s="2">
        <f t="shared" si="5"/>
        <v>-10.370510586947585</v>
      </c>
    </row>
    <row r="70" spans="1:7" x14ac:dyDescent="0.3">
      <c r="F70" t="s">
        <v>53</v>
      </c>
      <c r="G70" s="2">
        <f>AVERAGE(G3:G69)</f>
        <v>-10.331818013334747</v>
      </c>
    </row>
    <row r="72" spans="1:7" x14ac:dyDescent="0.3">
      <c r="A72" t="s">
        <v>26</v>
      </c>
      <c r="B72" s="1">
        <v>3.0000000000000001E-6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3SE3_B_A_New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2026-06-22T14:21:49Z</dcterms:created>
  <dcterms:modified xsi:type="dcterms:W3CDTF">2026-06-22T14:22:59Z</dcterms:modified>
</cp:coreProperties>
</file>